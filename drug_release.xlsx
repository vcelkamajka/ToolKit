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PycharmProjects\ToolKit\"/>
    </mc:Choice>
  </mc:AlternateContent>
  <xr:revisionPtr revIDLastSave="0" documentId="8_{D0691866-C604-47D0-9862-F0AD86E94468}" xr6:coauthVersionLast="47" xr6:coauthVersionMax="47" xr10:uidLastSave="{00000000-0000-0000-0000-000000000000}"/>
  <bookViews>
    <workbookView xWindow="9510" yWindow="0" windowWidth="9780" windowHeight="10170" firstSheet="1" activeTab="2" xr2:uid="{00000000-000D-0000-FFFF-FFFF00000000}"/>
  </bookViews>
  <sheets>
    <sheet name="drug_release" sheetId="1" r:id="rId1"/>
    <sheet name="nth Order" sheetId="8" r:id="rId2"/>
    <sheet name="First Order" sheetId="2" r:id="rId3"/>
    <sheet name="Second Order" sheetId="3" r:id="rId4"/>
    <sheet name="Higuchi" sheetId="4" r:id="rId5"/>
    <sheet name="Korsmeyer-Peppas" sheetId="5" r:id="rId6"/>
    <sheet name="Hixson-Crowell" sheetId="6" r:id="rId7"/>
    <sheet name="Weibull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8"/>
  <c r="B4" i="8"/>
  <c r="B5" i="8"/>
  <c r="B6" i="8"/>
  <c r="B7" i="8"/>
  <c r="B8" i="8"/>
  <c r="B9" i="8"/>
  <c r="B10" i="8"/>
  <c r="B11" i="8"/>
  <c r="B12" i="8"/>
  <c r="B13" i="8"/>
  <c r="B2" i="8"/>
</calcChain>
</file>

<file path=xl/sharedStrings.xml><?xml version="1.0" encoding="utf-8"?>
<sst xmlns="http://schemas.openxmlformats.org/spreadsheetml/2006/main" count="16" uniqueCount="2">
  <si>
    <t>Time_hr</t>
  </si>
  <si>
    <t>Concentration_Released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</si>
</sst>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2" topLeftCell="A3" activePane="bottomLeft" state="frozen"/>
      <selection pane="bottomLeft" activeCell="B19" sqref="B19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0.01</v>
      </c>
    </row>
    <row r="3" spans="1:2" x14ac:dyDescent="0.35">
      <c r="A3" s="1">
        <v>0.5</v>
      </c>
      <c r="B3" s="1">
        <v>1.99</v>
      </c>
    </row>
    <row r="4" spans="1:2" x14ac:dyDescent="0.35">
      <c r="A4" s="1">
        <v>1</v>
      </c>
      <c r="B4" s="1">
        <v>4.05</v>
      </c>
    </row>
    <row r="5" spans="1:2" x14ac:dyDescent="0.35">
      <c r="A5" s="1">
        <v>2</v>
      </c>
      <c r="B5" s="1">
        <v>8.24</v>
      </c>
    </row>
    <row r="6" spans="1:2" x14ac:dyDescent="0.35">
      <c r="A6" s="1">
        <v>3</v>
      </c>
      <c r="B6" s="1">
        <v>11.94</v>
      </c>
    </row>
    <row r="7" spans="1:2" x14ac:dyDescent="0.35">
      <c r="A7" s="1">
        <v>4</v>
      </c>
      <c r="B7" s="1">
        <v>15.93</v>
      </c>
    </row>
    <row r="8" spans="1:2" x14ac:dyDescent="0.35">
      <c r="A8" s="1">
        <v>6</v>
      </c>
      <c r="B8" s="1">
        <v>24.76</v>
      </c>
    </row>
    <row r="9" spans="1:2" x14ac:dyDescent="0.35">
      <c r="A9" s="1">
        <v>8</v>
      </c>
      <c r="B9" s="1">
        <v>32.49</v>
      </c>
    </row>
    <row r="10" spans="1:2" x14ac:dyDescent="0.35">
      <c r="A10" s="1">
        <v>10</v>
      </c>
      <c r="B10" s="1">
        <v>39.619999999999997</v>
      </c>
    </row>
    <row r="11" spans="1:2" x14ac:dyDescent="0.35">
      <c r="A11" s="1">
        <v>12</v>
      </c>
      <c r="B11" s="1">
        <v>48.52</v>
      </c>
    </row>
    <row r="12" spans="1:2" x14ac:dyDescent="0.35">
      <c r="A12" s="1">
        <v>18</v>
      </c>
      <c r="B12" s="1">
        <v>71.33</v>
      </c>
    </row>
    <row r="13" spans="1:2" x14ac:dyDescent="0.35">
      <c r="A13" s="1">
        <v>24</v>
      </c>
      <c r="B13" s="1">
        <v>95.11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3C56-079A-4DEB-B665-6E017BE158CB}">
  <dimension ref="A1:B13"/>
  <sheetViews>
    <sheetView workbookViewId="0">
      <selection activeCell="C5" sqref="C5"/>
    </sheetView>
  </sheetViews>
  <sheetFormatPr defaultRowHeight="14.5" x14ac:dyDescent="0.35"/>
  <cols>
    <col min="1" max="1" width="22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>
        <f>A2^2.7/(24^2.7)*100</f>
        <v>0</v>
      </c>
    </row>
    <row r="3" spans="1:2" x14ac:dyDescent="0.35">
      <c r="A3" s="1">
        <v>0.5</v>
      </c>
      <c r="B3">
        <f t="shared" ref="B3:B13" si="0">A3^2.7/(24^2.7)*100</f>
        <v>2.8883422901250988E-3</v>
      </c>
    </row>
    <row r="4" spans="1:2" x14ac:dyDescent="0.35">
      <c r="A4" s="1">
        <v>1</v>
      </c>
      <c r="B4">
        <f t="shared" si="0"/>
        <v>1.876850357320935E-2</v>
      </c>
    </row>
    <row r="5" spans="1:2" x14ac:dyDescent="0.35">
      <c r="A5" s="1">
        <v>2</v>
      </c>
      <c r="B5">
        <f t="shared" si="0"/>
        <v>0.12195809602687892</v>
      </c>
    </row>
    <row r="6" spans="1:2" x14ac:dyDescent="0.35">
      <c r="A6" s="1">
        <v>3</v>
      </c>
      <c r="B6">
        <f t="shared" si="0"/>
        <v>0.36446601231906495</v>
      </c>
    </row>
    <row r="7" spans="1:2" x14ac:dyDescent="0.35">
      <c r="A7" s="1">
        <v>4</v>
      </c>
      <c r="B7">
        <f t="shared" si="0"/>
        <v>0.79248604602301032</v>
      </c>
    </row>
    <row r="8" spans="1:2" x14ac:dyDescent="0.35">
      <c r="A8" s="1">
        <v>6</v>
      </c>
      <c r="B8">
        <f t="shared" si="0"/>
        <v>2.3683071351724938</v>
      </c>
    </row>
    <row r="9" spans="1:2" x14ac:dyDescent="0.35">
      <c r="A9" s="1">
        <v>8</v>
      </c>
      <c r="B9">
        <f t="shared" si="0"/>
        <v>5.1495895196885435</v>
      </c>
    </row>
    <row r="10" spans="1:2" x14ac:dyDescent="0.35">
      <c r="A10" s="1">
        <v>10</v>
      </c>
      <c r="B10">
        <f t="shared" si="0"/>
        <v>9.4065343851803771</v>
      </c>
    </row>
    <row r="11" spans="1:2" x14ac:dyDescent="0.35">
      <c r="A11" s="1">
        <v>12</v>
      </c>
      <c r="B11">
        <f t="shared" si="0"/>
        <v>15.389305166811434</v>
      </c>
    </row>
    <row r="12" spans="1:2" x14ac:dyDescent="0.35">
      <c r="A12" s="1">
        <v>18</v>
      </c>
      <c r="B12">
        <f t="shared" si="0"/>
        <v>45.99021195995693</v>
      </c>
    </row>
    <row r="13" spans="1:2" x14ac:dyDescent="0.35">
      <c r="A13" s="1">
        <v>24</v>
      </c>
      <c r="B13">
        <f t="shared" si="0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f>A2*1</f>
        <v>0</v>
      </c>
    </row>
    <row r="3" spans="1:2" x14ac:dyDescent="0.35">
      <c r="A3" s="1">
        <v>0.5</v>
      </c>
      <c r="B3" s="1">
        <v>6.95</v>
      </c>
    </row>
    <row r="4" spans="1:2" x14ac:dyDescent="0.35">
      <c r="A4" s="1">
        <v>1</v>
      </c>
      <c r="B4" s="1">
        <v>13.45</v>
      </c>
    </row>
    <row r="5" spans="1:2" x14ac:dyDescent="0.35">
      <c r="A5" s="1">
        <v>2</v>
      </c>
      <c r="B5" s="1">
        <v>25.63</v>
      </c>
    </row>
    <row r="6" spans="1:2" x14ac:dyDescent="0.35">
      <c r="A6" s="1">
        <v>3</v>
      </c>
      <c r="B6" s="1">
        <v>35.5</v>
      </c>
    </row>
    <row r="7" spans="1:2" x14ac:dyDescent="0.35">
      <c r="A7" s="1">
        <v>4</v>
      </c>
      <c r="B7" s="1">
        <v>45.4</v>
      </c>
    </row>
    <row r="8" spans="1:2" x14ac:dyDescent="0.35">
      <c r="A8" s="1">
        <v>6</v>
      </c>
      <c r="B8" s="1">
        <v>58.27</v>
      </c>
    </row>
    <row r="9" spans="1:2" x14ac:dyDescent="0.35">
      <c r="A9" s="1">
        <v>8</v>
      </c>
      <c r="B9" s="1">
        <v>67.91</v>
      </c>
    </row>
    <row r="10" spans="1:2" x14ac:dyDescent="0.35">
      <c r="A10" s="1">
        <v>10</v>
      </c>
      <c r="B10" s="1">
        <v>79.959999999999994</v>
      </c>
    </row>
    <row r="11" spans="1:2" x14ac:dyDescent="0.35">
      <c r="A11" s="1">
        <v>12</v>
      </c>
      <c r="B11" s="1">
        <v>83.09</v>
      </c>
    </row>
    <row r="12" spans="1:2" x14ac:dyDescent="0.35">
      <c r="A12" s="1">
        <v>18</v>
      </c>
      <c r="B12" s="1">
        <v>93.41</v>
      </c>
    </row>
    <row r="13" spans="1:2" x14ac:dyDescent="0.35">
      <c r="A13" s="1">
        <v>24</v>
      </c>
      <c r="B13" s="1">
        <v>94.5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A2" sqref="A2:B13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</v>
      </c>
    </row>
    <row r="3" spans="1:2" x14ac:dyDescent="0.35">
      <c r="A3" s="1">
        <v>0.5</v>
      </c>
      <c r="B3" s="1">
        <v>33.409999999999997</v>
      </c>
    </row>
    <row r="4" spans="1:2" x14ac:dyDescent="0.35">
      <c r="A4" s="1">
        <v>1</v>
      </c>
      <c r="B4" s="1">
        <v>48.85</v>
      </c>
    </row>
    <row r="5" spans="1:2" x14ac:dyDescent="0.35">
      <c r="A5" s="1">
        <v>2</v>
      </c>
      <c r="B5" s="1">
        <v>67.17</v>
      </c>
    </row>
    <row r="6" spans="1:2" x14ac:dyDescent="0.35">
      <c r="A6" s="1">
        <v>3</v>
      </c>
      <c r="B6" s="1">
        <v>74.099999999999994</v>
      </c>
    </row>
    <row r="7" spans="1:2" x14ac:dyDescent="0.35">
      <c r="A7" s="1">
        <v>4</v>
      </c>
      <c r="B7" s="1">
        <v>79.53</v>
      </c>
    </row>
    <row r="8" spans="1:2" x14ac:dyDescent="0.35">
      <c r="A8" s="1">
        <v>6</v>
      </c>
      <c r="B8" s="1">
        <v>84.68</v>
      </c>
    </row>
    <row r="9" spans="1:2" x14ac:dyDescent="0.35">
      <c r="A9" s="1">
        <v>8</v>
      </c>
      <c r="B9" s="1">
        <v>92.18</v>
      </c>
    </row>
    <row r="10" spans="1:2" x14ac:dyDescent="0.35">
      <c r="A10" s="1">
        <v>10</v>
      </c>
      <c r="B10" s="1">
        <v>90.88</v>
      </c>
    </row>
    <row r="11" spans="1:2" x14ac:dyDescent="0.35">
      <c r="A11" s="1">
        <v>12</v>
      </c>
      <c r="B11" s="1">
        <v>90.35</v>
      </c>
    </row>
    <row r="12" spans="1:2" x14ac:dyDescent="0.35">
      <c r="A12" s="1">
        <v>18</v>
      </c>
      <c r="B12" s="1">
        <v>96.3</v>
      </c>
    </row>
    <row r="13" spans="1:2" x14ac:dyDescent="0.35">
      <c r="A13" s="1">
        <v>24</v>
      </c>
      <c r="B13" s="1">
        <v>93.66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</v>
      </c>
    </row>
    <row r="3" spans="1:2" x14ac:dyDescent="0.35">
      <c r="A3" s="1">
        <v>0.5</v>
      </c>
      <c r="B3" s="1">
        <v>12.23</v>
      </c>
    </row>
    <row r="4" spans="1:2" x14ac:dyDescent="0.35">
      <c r="A4" s="1">
        <v>1</v>
      </c>
      <c r="B4" s="1">
        <v>17.52</v>
      </c>
    </row>
    <row r="5" spans="1:2" x14ac:dyDescent="0.35">
      <c r="A5" s="1">
        <v>2</v>
      </c>
      <c r="B5" s="1">
        <v>25.56</v>
      </c>
    </row>
    <row r="6" spans="1:2" x14ac:dyDescent="0.35">
      <c r="A6" s="1">
        <v>3</v>
      </c>
      <c r="B6" s="1">
        <v>31.64</v>
      </c>
    </row>
    <row r="7" spans="1:2" x14ac:dyDescent="0.35">
      <c r="A7" s="1">
        <v>4</v>
      </c>
      <c r="B7" s="1">
        <v>36.119999999999997</v>
      </c>
    </row>
    <row r="8" spans="1:2" x14ac:dyDescent="0.35">
      <c r="A8" s="1">
        <v>6</v>
      </c>
      <c r="B8" s="1">
        <v>43.99</v>
      </c>
    </row>
    <row r="9" spans="1:2" x14ac:dyDescent="0.35">
      <c r="A9" s="1">
        <v>8</v>
      </c>
      <c r="B9" s="1">
        <v>50.61</v>
      </c>
    </row>
    <row r="10" spans="1:2" x14ac:dyDescent="0.35">
      <c r="A10" s="1">
        <v>10</v>
      </c>
      <c r="B10" s="1">
        <v>55.24</v>
      </c>
    </row>
    <row r="11" spans="1:2" x14ac:dyDescent="0.35">
      <c r="A11" s="1">
        <v>12</v>
      </c>
      <c r="B11" s="1">
        <v>61.46</v>
      </c>
    </row>
    <row r="12" spans="1:2" x14ac:dyDescent="0.35">
      <c r="A12" s="1">
        <v>18</v>
      </c>
      <c r="B12" s="1">
        <v>75.66</v>
      </c>
    </row>
    <row r="13" spans="1:2" x14ac:dyDescent="0.35">
      <c r="A13" s="1">
        <v>24</v>
      </c>
      <c r="B13" s="1">
        <v>90.05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pane ySplit="1" topLeftCell="A2" activePane="bottomLeft" state="frozen"/>
      <selection pane="bottomLeft" activeCell="A2" sqref="A2:B13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0.01</v>
      </c>
    </row>
    <row r="3" spans="1:2" x14ac:dyDescent="0.35">
      <c r="A3" s="1">
        <v>0.5</v>
      </c>
      <c r="B3" s="1">
        <v>13.18</v>
      </c>
    </row>
    <row r="4" spans="1:2" x14ac:dyDescent="0.35">
      <c r="A4" s="1">
        <v>1</v>
      </c>
      <c r="B4" s="1">
        <v>20.13</v>
      </c>
    </row>
    <row r="5" spans="1:2" x14ac:dyDescent="0.35">
      <c r="A5" s="1">
        <v>2</v>
      </c>
      <c r="B5" s="1">
        <v>29.06</v>
      </c>
    </row>
    <row r="6" spans="1:2" x14ac:dyDescent="0.35">
      <c r="A6" s="1">
        <v>3</v>
      </c>
      <c r="B6" s="1">
        <v>36.1</v>
      </c>
    </row>
    <row r="7" spans="1:2" x14ac:dyDescent="0.35">
      <c r="A7" s="1">
        <v>4</v>
      </c>
      <c r="B7" s="1">
        <v>43.4</v>
      </c>
    </row>
    <row r="8" spans="1:2" x14ac:dyDescent="0.35">
      <c r="A8" s="1">
        <v>6</v>
      </c>
      <c r="B8" s="1">
        <v>54.69</v>
      </c>
    </row>
    <row r="9" spans="1:2" x14ac:dyDescent="0.35">
      <c r="A9" s="1">
        <v>8</v>
      </c>
      <c r="B9" s="1">
        <v>63.94</v>
      </c>
    </row>
    <row r="10" spans="1:2" x14ac:dyDescent="0.35">
      <c r="A10" s="1">
        <v>10</v>
      </c>
      <c r="B10" s="1">
        <v>69.77</v>
      </c>
    </row>
    <row r="11" spans="1:2" x14ac:dyDescent="0.35">
      <c r="A11" s="1">
        <v>12</v>
      </c>
      <c r="B11" s="1">
        <v>77.959999999999994</v>
      </c>
    </row>
    <row r="12" spans="1:2" x14ac:dyDescent="0.35">
      <c r="A12" s="1">
        <v>18</v>
      </c>
      <c r="B12" s="1">
        <v>98.7</v>
      </c>
    </row>
    <row r="13" spans="1:2" x14ac:dyDescent="0.35">
      <c r="A13" s="1">
        <v>24</v>
      </c>
      <c r="B13" s="1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 activeCell="A2" sqref="A2:B13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</v>
      </c>
    </row>
    <row r="3" spans="1:2" x14ac:dyDescent="0.35">
      <c r="A3" s="1">
        <v>0.5</v>
      </c>
      <c r="B3" s="1">
        <v>4.42</v>
      </c>
    </row>
    <row r="4" spans="1:2" x14ac:dyDescent="0.35">
      <c r="A4" s="1">
        <v>1</v>
      </c>
      <c r="B4" s="1">
        <v>8.5399999999999991</v>
      </c>
    </row>
    <row r="5" spans="1:2" x14ac:dyDescent="0.35">
      <c r="A5" s="1">
        <v>2</v>
      </c>
      <c r="B5" s="1">
        <v>16.54</v>
      </c>
    </row>
    <row r="6" spans="1:2" x14ac:dyDescent="0.35">
      <c r="A6" s="1">
        <v>3</v>
      </c>
      <c r="B6" s="1">
        <v>25.04</v>
      </c>
    </row>
    <row r="7" spans="1:2" x14ac:dyDescent="0.35">
      <c r="A7" s="1">
        <v>4</v>
      </c>
      <c r="B7" s="1">
        <v>32.72</v>
      </c>
    </row>
    <row r="8" spans="1:2" x14ac:dyDescent="0.35">
      <c r="A8" s="1">
        <v>6</v>
      </c>
      <c r="B8" s="1">
        <v>44.8</v>
      </c>
    </row>
    <row r="9" spans="1:2" x14ac:dyDescent="0.35">
      <c r="A9" s="1">
        <v>8</v>
      </c>
      <c r="B9" s="1">
        <v>57.23</v>
      </c>
    </row>
    <row r="10" spans="1:2" x14ac:dyDescent="0.35">
      <c r="A10" s="1">
        <v>10</v>
      </c>
      <c r="B10" s="1">
        <v>66.180000000000007</v>
      </c>
    </row>
    <row r="11" spans="1:2" x14ac:dyDescent="0.35">
      <c r="A11" s="1">
        <v>12</v>
      </c>
      <c r="B11" s="1">
        <v>72.83</v>
      </c>
    </row>
    <row r="12" spans="1:2" x14ac:dyDescent="0.35">
      <c r="A12" s="1">
        <v>18</v>
      </c>
      <c r="B12" s="1">
        <v>90.92</v>
      </c>
    </row>
    <row r="13" spans="1:2" x14ac:dyDescent="0.35">
      <c r="A13" s="1">
        <v>24</v>
      </c>
      <c r="B13" s="1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 activeCell="A2" sqref="A2:B13"/>
    </sheetView>
  </sheetViews>
  <sheetFormatPr defaultRowHeight="14.5" x14ac:dyDescent="0.35"/>
  <cols>
    <col min="1" max="1" width="22" customWidth="1"/>
    <col min="2" max="2" width="28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 s="1">
        <v>0</v>
      </c>
    </row>
    <row r="3" spans="1:2" x14ac:dyDescent="0.35">
      <c r="A3" s="1">
        <v>0.5</v>
      </c>
      <c r="B3" s="1">
        <v>9.41</v>
      </c>
    </row>
    <row r="4" spans="1:2" x14ac:dyDescent="0.35">
      <c r="A4" s="1">
        <v>1</v>
      </c>
      <c r="B4" s="1">
        <v>14.55</v>
      </c>
    </row>
    <row r="5" spans="1:2" x14ac:dyDescent="0.35">
      <c r="A5" s="1">
        <v>2</v>
      </c>
      <c r="B5" s="1">
        <v>25.6</v>
      </c>
    </row>
    <row r="6" spans="1:2" x14ac:dyDescent="0.35">
      <c r="A6" s="1">
        <v>3</v>
      </c>
      <c r="B6" s="1">
        <v>33.119999999999997</v>
      </c>
    </row>
    <row r="7" spans="1:2" x14ac:dyDescent="0.35">
      <c r="A7" s="1">
        <v>4</v>
      </c>
      <c r="B7" s="1">
        <v>39.43</v>
      </c>
    </row>
    <row r="8" spans="1:2" x14ac:dyDescent="0.35">
      <c r="A8" s="1">
        <v>6</v>
      </c>
      <c r="B8" s="1">
        <v>50.38</v>
      </c>
    </row>
    <row r="9" spans="1:2" x14ac:dyDescent="0.35">
      <c r="A9" s="1">
        <v>8</v>
      </c>
      <c r="B9" s="1">
        <v>56.18</v>
      </c>
    </row>
    <row r="10" spans="1:2" x14ac:dyDescent="0.35">
      <c r="A10" s="1">
        <v>10</v>
      </c>
      <c r="B10" s="1">
        <v>64.78</v>
      </c>
    </row>
    <row r="11" spans="1:2" x14ac:dyDescent="0.35">
      <c r="A11" s="1">
        <v>12</v>
      </c>
      <c r="B11" s="1">
        <v>70.88</v>
      </c>
    </row>
    <row r="12" spans="1:2" x14ac:dyDescent="0.35">
      <c r="A12" s="1">
        <v>18</v>
      </c>
      <c r="B12" s="1">
        <v>83.82</v>
      </c>
    </row>
    <row r="13" spans="1:2" x14ac:dyDescent="0.35">
      <c r="A13" s="1">
        <v>24</v>
      </c>
      <c r="B13" s="1">
        <v>87.07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drug_release</vt:lpstr>
      <vt:lpstr>nth Order</vt:lpstr>
      <vt:lpstr>First Order</vt:lpstr>
      <vt:lpstr>Second Order</vt:lpstr>
      <vt:lpstr>Higuchi</vt:lpstr>
      <vt:lpstr>Korsmeyer-Peppas</vt:lpstr>
      <vt:lpstr>Hixson-Crowell</vt:lpstr>
      <vt:lpstr>Weibull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(20102577) Maja Rygolova</cp:lastModifiedBy>
  <dcterms:created xsi:type="dcterms:W3CDTF">2026-08-29T10:57:35Z</dcterms:created>
  <dcterms:modified xsi:type="dcterms:W3CDTF">2026-08-29T11:58:32Z</dcterms:modified>
</cp:coreProperties>
</file>